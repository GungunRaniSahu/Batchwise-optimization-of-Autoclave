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i\OneDrive\Desktop\"/>
    </mc:Choice>
  </mc:AlternateContent>
  <xr:revisionPtr revIDLastSave="0" documentId="13_ncr:1_{14CF08BA-E7E3-4C0C-A2D6-18B3688E39C2}" xr6:coauthVersionLast="47" xr6:coauthVersionMax="47" xr10:uidLastSave="{00000000-0000-0000-0000-000000000000}"/>
  <bookViews>
    <workbookView xWindow="-108" yWindow="-108" windowWidth="23256" windowHeight="12456" xr2:uid="{F7B9190D-8B7D-4CF1-930F-90C6DDA15C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</calcChain>
</file>

<file path=xl/sharedStrings.xml><?xml version="1.0" encoding="utf-8"?>
<sst xmlns="http://schemas.openxmlformats.org/spreadsheetml/2006/main" count="75" uniqueCount="44">
  <si>
    <t>Part Number</t>
  </si>
  <si>
    <t>L (INCHES)</t>
  </si>
  <si>
    <t>W (INCHES)</t>
  </si>
  <si>
    <t>370247-2P</t>
  </si>
  <si>
    <t>370187-5P</t>
  </si>
  <si>
    <t>370372-2P</t>
  </si>
  <si>
    <t>346809-3P</t>
  </si>
  <si>
    <t>372695-12LP</t>
  </si>
  <si>
    <t>372695-12RP</t>
  </si>
  <si>
    <t>372694-12LP</t>
  </si>
  <si>
    <t>372694-12RP</t>
  </si>
  <si>
    <t>352448A3L</t>
  </si>
  <si>
    <t>352448A3R</t>
  </si>
  <si>
    <t>352676A3L</t>
  </si>
  <si>
    <t>352676A3R</t>
  </si>
  <si>
    <t>340461-3LP</t>
  </si>
  <si>
    <t>340461-3RP</t>
  </si>
  <si>
    <t>352387-37LP</t>
  </si>
  <si>
    <t>352387-37RP</t>
  </si>
  <si>
    <t>352387-5LP</t>
  </si>
  <si>
    <t>352387-5RP</t>
  </si>
  <si>
    <t>363399-1LP</t>
  </si>
  <si>
    <t>363399-1RP</t>
  </si>
  <si>
    <t>370392A500L</t>
  </si>
  <si>
    <t>370392A500R</t>
  </si>
  <si>
    <t>370385-1LP</t>
  </si>
  <si>
    <t>370385-1RP</t>
  </si>
  <si>
    <t>3329822-1P</t>
  </si>
  <si>
    <t>3329823-1P</t>
  </si>
  <si>
    <t>351680A3R</t>
  </si>
  <si>
    <t>3326633-1P</t>
  </si>
  <si>
    <t>352179-37P</t>
  </si>
  <si>
    <t>370047A500</t>
  </si>
  <si>
    <t>370061A500</t>
  </si>
  <si>
    <t>370043-1P</t>
  </si>
  <si>
    <t>370057-1P</t>
  </si>
  <si>
    <t xml:space="preserve">Availability </t>
  </si>
  <si>
    <t>yes</t>
  </si>
  <si>
    <t>no</t>
  </si>
  <si>
    <t>H (INCHES)</t>
  </si>
  <si>
    <t xml:space="preserve">TOOL NUMBER </t>
  </si>
  <si>
    <t>LENGTH (INCH)</t>
  </si>
  <si>
    <t>WIDTH(INCH)</t>
  </si>
  <si>
    <t>SURFACE AREA(INCH SQ)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</si>
</sst>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1" fillId="0" borderId="2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B5556-E570-4A85-9BD7-935098081C38}">
  <dimension ref="A1:K35"/>
  <sheetViews>
    <sheetView tabSelected="1" workbookViewId="0">
      <selection activeCell="H25" sqref="H25"/>
    </sheetView>
  </sheetViews>
  <sheetFormatPr defaultRowHeight="14.4" x14ac:dyDescent="0.3"/>
  <cols>
    <col min="1" max="1" width="20.77734375" style="6" customWidth="1"/>
    <col min="2" max="2" width="19.33203125" style="6" customWidth="1"/>
    <col min="3" max="3" width="19.5546875" style="6" customWidth="1"/>
    <col min="4" max="4" width="20.5546875" customWidth="1"/>
    <col min="5" max="5" width="20.21875" style="10" customWidth="1"/>
    <col min="6" max="6" width="19.77734375" customWidth="1"/>
    <col min="7" max="7" width="13.77734375" customWidth="1"/>
    <col min="8" max="8" width="19.5546875" customWidth="1"/>
    <col min="9" max="9" width="25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8" t="s">
        <v>39</v>
      </c>
      <c r="E1" s="8" t="s">
        <v>36</v>
      </c>
      <c r="F1" s="11" t="s">
        <v>40</v>
      </c>
      <c r="G1" s="11" t="s">
        <v>41</v>
      </c>
      <c r="H1" s="11" t="s">
        <v>42</v>
      </c>
      <c r="I1" s="11" t="s">
        <v>43</v>
      </c>
      <c r="J1" s="11"/>
      <c r="K1" s="11"/>
    </row>
    <row r="2" spans="1:11" x14ac:dyDescent="0.3">
      <c r="A2" s="2" t="s">
        <v>3</v>
      </c>
      <c r="B2" s="3">
        <v>122</v>
      </c>
      <c r="C2" s="3">
        <v>16</v>
      </c>
      <c r="D2" s="9">
        <v>36</v>
      </c>
      <c r="E2" s="10" t="s">
        <v>37</v>
      </c>
      <c r="F2">
        <v>10597751</v>
      </c>
      <c r="G2">
        <f>18.9*12</f>
        <v>226.79999999999998</v>
      </c>
      <c r="H2">
        <f>5.8*12</f>
        <v>69.599999999999994</v>
      </c>
      <c r="I2">
        <f>G2*H2</f>
        <v>15785.279999999997</v>
      </c>
    </row>
    <row r="3" spans="1:11" x14ac:dyDescent="0.3">
      <c r="A3" s="2" t="s">
        <v>4</v>
      </c>
      <c r="B3" s="4">
        <v>122</v>
      </c>
      <c r="C3" s="4">
        <v>0.111</v>
      </c>
      <c r="D3" s="9">
        <v>56</v>
      </c>
      <c r="E3" s="10" t="s">
        <v>37</v>
      </c>
      <c r="F3">
        <v>10597755</v>
      </c>
      <c r="G3">
        <f>14.1*12</f>
        <v>169.2</v>
      </c>
      <c r="H3">
        <f>5.91*12</f>
        <v>70.92</v>
      </c>
      <c r="I3">
        <f>G3*H3</f>
        <v>11999.663999999999</v>
      </c>
    </row>
    <row r="4" spans="1:11" x14ac:dyDescent="0.3">
      <c r="A4" s="2" t="s">
        <v>5</v>
      </c>
      <c r="B4" s="4">
        <v>125</v>
      </c>
      <c r="C4" s="4">
        <v>16</v>
      </c>
      <c r="D4" s="9">
        <v>31</v>
      </c>
      <c r="E4" s="10" t="s">
        <v>37</v>
      </c>
      <c r="F4">
        <v>10597761</v>
      </c>
      <c r="G4">
        <f>8.3*12</f>
        <v>99.600000000000009</v>
      </c>
      <c r="H4">
        <f>4.32*12</f>
        <v>51.84</v>
      </c>
      <c r="I4">
        <f>G4*H4</f>
        <v>5163.264000000001</v>
      </c>
    </row>
    <row r="5" spans="1:11" x14ac:dyDescent="0.3">
      <c r="A5" s="2" t="s">
        <v>6</v>
      </c>
      <c r="B5" s="4">
        <v>75</v>
      </c>
      <c r="C5" s="4">
        <v>0.111</v>
      </c>
      <c r="D5" s="4">
        <v>26</v>
      </c>
      <c r="E5" s="10" t="s">
        <v>37</v>
      </c>
      <c r="F5">
        <v>10597762</v>
      </c>
      <c r="G5">
        <f>8.3*12</f>
        <v>99.600000000000009</v>
      </c>
      <c r="H5">
        <f>4.32*12</f>
        <v>51.84</v>
      </c>
      <c r="I5">
        <f>G5*H5</f>
        <v>5163.264000000001</v>
      </c>
    </row>
    <row r="6" spans="1:11" x14ac:dyDescent="0.3">
      <c r="A6" s="2" t="s">
        <v>7</v>
      </c>
      <c r="B6" s="4">
        <v>39</v>
      </c>
      <c r="C6" s="4">
        <v>0.111</v>
      </c>
      <c r="D6" s="4">
        <v>5</v>
      </c>
      <c r="E6" s="10" t="s">
        <v>37</v>
      </c>
      <c r="F6">
        <v>10597770</v>
      </c>
      <c r="G6">
        <f>8.2*12</f>
        <v>98.399999999999991</v>
      </c>
      <c r="H6">
        <f>4.3*12</f>
        <v>51.599999999999994</v>
      </c>
      <c r="I6">
        <f>G6*H6</f>
        <v>5077.4399999999987</v>
      </c>
    </row>
    <row r="7" spans="1:11" x14ac:dyDescent="0.3">
      <c r="A7" s="2" t="s">
        <v>8</v>
      </c>
      <c r="B7" s="4">
        <v>39</v>
      </c>
      <c r="C7" s="4">
        <v>0.111</v>
      </c>
      <c r="D7" s="4">
        <v>4.5</v>
      </c>
      <c r="E7" s="10" t="s">
        <v>37</v>
      </c>
      <c r="F7">
        <v>10597758</v>
      </c>
      <c r="G7">
        <f>11.45*12</f>
        <v>137.39999999999998</v>
      </c>
      <c r="H7">
        <f>3.93*12</f>
        <v>47.160000000000004</v>
      </c>
      <c r="I7">
        <f>G7*H7</f>
        <v>6479.7839999999997</v>
      </c>
    </row>
    <row r="8" spans="1:11" x14ac:dyDescent="0.3">
      <c r="A8" s="2" t="s">
        <v>9</v>
      </c>
      <c r="B8" s="4">
        <v>39</v>
      </c>
      <c r="C8" s="4">
        <v>0.111</v>
      </c>
      <c r="D8" s="4">
        <v>4.5</v>
      </c>
      <c r="E8" s="10" t="s">
        <v>37</v>
      </c>
      <c r="F8">
        <v>10597760</v>
      </c>
      <c r="G8">
        <f>4.69*12</f>
        <v>56.28</v>
      </c>
      <c r="H8">
        <f>4.1*12</f>
        <v>49.199999999999996</v>
      </c>
      <c r="I8">
        <f>G8*H8</f>
        <v>2768.9759999999997</v>
      </c>
    </row>
    <row r="9" spans="1:11" x14ac:dyDescent="0.3">
      <c r="A9" s="2" t="s">
        <v>10</v>
      </c>
      <c r="B9" s="4">
        <v>39</v>
      </c>
      <c r="C9" s="4">
        <v>0.111</v>
      </c>
      <c r="D9" s="4">
        <v>4.5</v>
      </c>
      <c r="E9" s="10" t="s">
        <v>37</v>
      </c>
      <c r="F9">
        <v>10597763</v>
      </c>
      <c r="G9">
        <f>10.9*12</f>
        <v>130.80000000000001</v>
      </c>
      <c r="H9">
        <f>3.72*12</f>
        <v>44.64</v>
      </c>
      <c r="I9">
        <f>G9*H9</f>
        <v>5838.9120000000003</v>
      </c>
    </row>
    <row r="10" spans="1:11" x14ac:dyDescent="0.3">
      <c r="A10" s="2" t="s">
        <v>11</v>
      </c>
      <c r="B10" s="4">
        <v>148</v>
      </c>
      <c r="C10" s="4">
        <v>0.111</v>
      </c>
      <c r="D10" s="4">
        <v>50</v>
      </c>
      <c r="E10" s="10" t="s">
        <v>37</v>
      </c>
      <c r="F10">
        <v>10597750</v>
      </c>
      <c r="G10">
        <f>11.62*12</f>
        <v>139.44</v>
      </c>
      <c r="H10">
        <f>5.1*12</f>
        <v>61.199999999999996</v>
      </c>
      <c r="I10">
        <f>G10*H10</f>
        <v>8533.7279999999992</v>
      </c>
    </row>
    <row r="11" spans="1:11" x14ac:dyDescent="0.3">
      <c r="A11" s="2" t="s">
        <v>12</v>
      </c>
      <c r="B11" s="4">
        <v>148</v>
      </c>
      <c r="C11" s="4">
        <v>0.111</v>
      </c>
      <c r="D11" s="4">
        <v>50</v>
      </c>
      <c r="E11" s="10" t="s">
        <v>37</v>
      </c>
    </row>
    <row r="12" spans="1:11" x14ac:dyDescent="0.3">
      <c r="A12" s="2" t="s">
        <v>13</v>
      </c>
      <c r="B12" s="4">
        <v>160</v>
      </c>
      <c r="C12" s="4">
        <v>0.111</v>
      </c>
      <c r="D12" s="4">
        <v>47</v>
      </c>
      <c r="E12" s="10" t="s">
        <v>37</v>
      </c>
    </row>
    <row r="13" spans="1:11" x14ac:dyDescent="0.3">
      <c r="A13" s="2" t="s">
        <v>14</v>
      </c>
      <c r="B13" s="4">
        <v>160</v>
      </c>
      <c r="C13" s="4">
        <v>0.111</v>
      </c>
      <c r="D13" s="4">
        <v>47</v>
      </c>
      <c r="E13" s="10" t="s">
        <v>38</v>
      </c>
    </row>
    <row r="14" spans="1:11" x14ac:dyDescent="0.3">
      <c r="A14" s="2" t="s">
        <v>15</v>
      </c>
      <c r="B14" s="4">
        <v>72</v>
      </c>
      <c r="C14" s="4">
        <v>0.111</v>
      </c>
      <c r="D14" s="4">
        <v>31</v>
      </c>
      <c r="E14" s="10" t="s">
        <v>38</v>
      </c>
    </row>
    <row r="15" spans="1:11" x14ac:dyDescent="0.3">
      <c r="A15" s="2" t="s">
        <v>16</v>
      </c>
      <c r="B15" s="4">
        <v>72</v>
      </c>
      <c r="C15" s="4">
        <v>0.111</v>
      </c>
      <c r="D15" s="4">
        <v>31</v>
      </c>
      <c r="E15" s="10" t="s">
        <v>38</v>
      </c>
    </row>
    <row r="16" spans="1:11" x14ac:dyDescent="0.3">
      <c r="A16" s="5" t="s">
        <v>17</v>
      </c>
      <c r="B16" s="4">
        <v>18</v>
      </c>
      <c r="C16" s="4">
        <v>18</v>
      </c>
      <c r="D16" s="9">
        <v>37</v>
      </c>
      <c r="E16" s="10" t="s">
        <v>38</v>
      </c>
    </row>
    <row r="17" spans="1:5" x14ac:dyDescent="0.3">
      <c r="A17" s="5" t="s">
        <v>18</v>
      </c>
      <c r="B17" s="4">
        <v>18</v>
      </c>
      <c r="C17" s="4">
        <v>18</v>
      </c>
      <c r="D17" s="9">
        <v>37</v>
      </c>
      <c r="E17" s="10" t="s">
        <v>38</v>
      </c>
    </row>
    <row r="18" spans="1:5" x14ac:dyDescent="0.3">
      <c r="A18" s="5" t="s">
        <v>19</v>
      </c>
      <c r="B18" s="4">
        <v>45</v>
      </c>
      <c r="C18" s="4">
        <v>19</v>
      </c>
      <c r="D18" s="9">
        <v>36</v>
      </c>
      <c r="E18" s="10" t="s">
        <v>38</v>
      </c>
    </row>
    <row r="19" spans="1:5" x14ac:dyDescent="0.3">
      <c r="A19" s="5" t="s">
        <v>20</v>
      </c>
      <c r="B19" s="4">
        <v>45</v>
      </c>
      <c r="C19" s="4">
        <v>19</v>
      </c>
      <c r="D19" s="9">
        <v>36</v>
      </c>
      <c r="E19" s="10" t="s">
        <v>37</v>
      </c>
    </row>
    <row r="20" spans="1:5" x14ac:dyDescent="0.3">
      <c r="A20" s="5" t="s">
        <v>21</v>
      </c>
      <c r="B20" s="4">
        <v>59</v>
      </c>
      <c r="C20" s="4">
        <v>17</v>
      </c>
      <c r="D20" s="9">
        <v>32</v>
      </c>
      <c r="E20" s="10" t="s">
        <v>37</v>
      </c>
    </row>
    <row r="21" spans="1:5" x14ac:dyDescent="0.3">
      <c r="A21" s="5" t="s">
        <v>22</v>
      </c>
      <c r="B21" s="4">
        <v>59</v>
      </c>
      <c r="C21" s="4">
        <v>17</v>
      </c>
      <c r="D21" s="9">
        <v>32</v>
      </c>
      <c r="E21" s="10" t="s">
        <v>37</v>
      </c>
    </row>
    <row r="22" spans="1:5" x14ac:dyDescent="0.3">
      <c r="A22" s="5" t="s">
        <v>23</v>
      </c>
      <c r="B22" s="4">
        <v>118</v>
      </c>
      <c r="C22" s="4">
        <v>15</v>
      </c>
      <c r="D22" s="9">
        <v>27</v>
      </c>
      <c r="E22" s="10" t="s">
        <v>37</v>
      </c>
    </row>
    <row r="23" spans="1:5" x14ac:dyDescent="0.3">
      <c r="A23" s="5" t="s">
        <v>24</v>
      </c>
      <c r="B23" s="4">
        <v>118</v>
      </c>
      <c r="C23" s="4">
        <v>15</v>
      </c>
      <c r="D23" s="9">
        <v>27</v>
      </c>
      <c r="E23" s="10" t="s">
        <v>37</v>
      </c>
    </row>
    <row r="24" spans="1:5" x14ac:dyDescent="0.3">
      <c r="A24" s="2" t="s">
        <v>25</v>
      </c>
      <c r="B24" s="4">
        <v>7.5</v>
      </c>
      <c r="C24" s="4">
        <v>0.111</v>
      </c>
      <c r="D24" s="4">
        <v>5.5</v>
      </c>
      <c r="E24" s="10" t="s">
        <v>37</v>
      </c>
    </row>
    <row r="25" spans="1:5" x14ac:dyDescent="0.3">
      <c r="A25" s="2" t="s">
        <v>26</v>
      </c>
      <c r="B25" s="4">
        <v>7.5</v>
      </c>
      <c r="C25" s="4">
        <v>0.111</v>
      </c>
      <c r="D25" s="4">
        <v>5.5</v>
      </c>
      <c r="E25" s="10" t="s">
        <v>38</v>
      </c>
    </row>
    <row r="26" spans="1:5" x14ac:dyDescent="0.3">
      <c r="A26" s="2" t="s">
        <v>27</v>
      </c>
      <c r="B26" s="4">
        <v>50</v>
      </c>
      <c r="C26" s="4">
        <v>0.111</v>
      </c>
      <c r="D26" s="9">
        <v>43</v>
      </c>
      <c r="E26" s="10" t="s">
        <v>38</v>
      </c>
    </row>
    <row r="27" spans="1:5" x14ac:dyDescent="0.3">
      <c r="A27" s="2" t="s">
        <v>28</v>
      </c>
      <c r="B27" s="4">
        <v>73</v>
      </c>
      <c r="C27" s="4">
        <v>0.111</v>
      </c>
      <c r="D27" s="4">
        <v>43</v>
      </c>
      <c r="E27" s="10" t="s">
        <v>38</v>
      </c>
    </row>
    <row r="28" spans="1:5" x14ac:dyDescent="0.3">
      <c r="A28" s="2" t="s">
        <v>29</v>
      </c>
      <c r="B28" s="4">
        <v>104</v>
      </c>
      <c r="C28" s="4">
        <v>0.111</v>
      </c>
      <c r="D28" s="4">
        <v>55</v>
      </c>
      <c r="E28" s="10" t="s">
        <v>38</v>
      </c>
    </row>
    <row r="29" spans="1:5" x14ac:dyDescent="0.3">
      <c r="A29" s="2" t="s">
        <v>30</v>
      </c>
      <c r="B29" s="4">
        <v>28</v>
      </c>
      <c r="C29" s="4">
        <v>32</v>
      </c>
      <c r="D29" s="4">
        <v>7.5</v>
      </c>
      <c r="E29" s="10" t="s">
        <v>38</v>
      </c>
    </row>
    <row r="30" spans="1:5" x14ac:dyDescent="0.3">
      <c r="A30" s="2" t="s">
        <v>31</v>
      </c>
      <c r="B30" s="4">
        <v>38</v>
      </c>
      <c r="C30" s="4">
        <v>24</v>
      </c>
      <c r="D30" s="4">
        <v>7.5</v>
      </c>
      <c r="E30" s="10" t="s">
        <v>38</v>
      </c>
    </row>
    <row r="31" spans="1:5" x14ac:dyDescent="0.3">
      <c r="A31" s="2" t="s">
        <v>32</v>
      </c>
      <c r="B31" s="4">
        <v>38</v>
      </c>
      <c r="C31" s="4">
        <v>27</v>
      </c>
      <c r="D31" s="9">
        <v>37</v>
      </c>
      <c r="E31" s="10" t="s">
        <v>38</v>
      </c>
    </row>
    <row r="32" spans="1:5" x14ac:dyDescent="0.3">
      <c r="A32" s="2" t="s">
        <v>33</v>
      </c>
      <c r="B32" s="4">
        <v>75</v>
      </c>
      <c r="C32" s="4">
        <v>20</v>
      </c>
      <c r="D32" s="9">
        <v>27</v>
      </c>
      <c r="E32" s="10" t="s">
        <v>37</v>
      </c>
    </row>
    <row r="33" spans="1:5" x14ac:dyDescent="0.3">
      <c r="A33" s="2" t="s">
        <v>34</v>
      </c>
      <c r="B33" s="4">
        <v>11.5</v>
      </c>
      <c r="C33" s="4">
        <v>0.111</v>
      </c>
      <c r="D33" s="9">
        <v>8</v>
      </c>
      <c r="E33" s="10" t="s">
        <v>37</v>
      </c>
    </row>
    <row r="34" spans="1:5" x14ac:dyDescent="0.3">
      <c r="A34" s="2" t="s">
        <v>35</v>
      </c>
      <c r="B34" s="4">
        <v>10.5</v>
      </c>
      <c r="C34" s="4">
        <v>0.111</v>
      </c>
      <c r="D34" s="9">
        <v>7.5</v>
      </c>
      <c r="E34" s="10" t="s">
        <v>37</v>
      </c>
    </row>
    <row r="35" spans="1:5" x14ac:dyDescent="0.3">
      <c r="B35" s="7"/>
      <c r="C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RANI</dc:creator>
  <cp:lastModifiedBy>GOURI RANI</cp:lastModifiedBy>
  <dcterms:created xsi:type="dcterms:W3CDTF">2026-08-21T12:26:19Z</dcterms:created>
  <dcterms:modified xsi:type="dcterms:W3CDTF">2026-08-30T11:45:00Z</dcterms:modified>
</cp:coreProperties>
</file>